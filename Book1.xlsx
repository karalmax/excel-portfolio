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lmax\excel-portfolio\"/>
    </mc:Choice>
  </mc:AlternateContent>
  <xr:revisionPtr revIDLastSave="0" documentId="13_ncr:1_{C1D47998-5342-4A62-97A4-B64450985D7D}" xr6:coauthVersionLast="47" xr6:coauthVersionMax="47" xr10:uidLastSave="{00000000-0000-0000-0000-000000000000}"/>
  <bookViews>
    <workbookView xWindow="-108" yWindow="-108" windowWidth="23256" windowHeight="12456" activeTab="2" xr2:uid="{3DB3319C-C947-4BA8-A10B-B2E218413AF1}"/>
  </bookViews>
  <sheets>
    <sheet name="Sheet2" sheetId="7" r:id="rId1"/>
    <sheet name="Sheet1" sheetId="8" r:id="rId2"/>
    <sheet name="day 3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9" l="1"/>
  <c r="J3" i="9"/>
  <c r="J4" i="9"/>
  <c r="J5" i="9"/>
  <c r="J6" i="9"/>
  <c r="K3" i="9"/>
  <c r="K4" i="9"/>
  <c r="K2" i="9"/>
  <c r="K5" i="9"/>
  <c r="K6" i="9"/>
  <c r="I2" i="9"/>
  <c r="I3" i="9"/>
  <c r="I4" i="9"/>
  <c r="I5" i="9"/>
  <c r="I6" i="9"/>
  <c r="G2" i="7"/>
  <c r="M2" i="7" s="1"/>
  <c r="H2" i="7"/>
  <c r="I2" i="7"/>
  <c r="J2" i="7" s="1"/>
  <c r="K2" i="7"/>
  <c r="L2" i="7"/>
  <c r="N2" i="7"/>
  <c r="P2" i="7"/>
  <c r="Q2" i="7"/>
  <c r="G3" i="7"/>
  <c r="M3" i="7" s="1"/>
  <c r="H3" i="7"/>
  <c r="I3" i="7"/>
  <c r="J3" i="7" s="1"/>
  <c r="K3" i="7"/>
  <c r="L3" i="7"/>
  <c r="N3" i="7"/>
  <c r="P3" i="7"/>
  <c r="G4" i="7"/>
  <c r="M4" i="7" s="1"/>
  <c r="H4" i="7"/>
  <c r="I4" i="7"/>
  <c r="J4" i="7" s="1"/>
  <c r="K4" i="7"/>
  <c r="L4" i="7"/>
  <c r="N4" i="7"/>
  <c r="O4" i="7"/>
  <c r="P4" i="7"/>
  <c r="Q4" i="7"/>
  <c r="M2" i="8"/>
  <c r="L2" i="8"/>
  <c r="K2" i="8"/>
  <c r="K3" i="8"/>
  <c r="K4" i="8"/>
  <c r="K5" i="8"/>
  <c r="K6" i="8"/>
  <c r="K7" i="8"/>
  <c r="J2" i="8"/>
  <c r="I2" i="8"/>
  <c r="H2" i="8"/>
  <c r="Q3" i="7" l="1"/>
  <c r="O2" i="7"/>
  <c r="O3" i="7"/>
</calcChain>
</file>

<file path=xl/sharedStrings.xml><?xml version="1.0" encoding="utf-8"?>
<sst xmlns="http://schemas.openxmlformats.org/spreadsheetml/2006/main" count="101" uniqueCount="78">
  <si>
    <t>Region</t>
  </si>
  <si>
    <t>Rep</t>
  </si>
  <si>
    <t>Product</t>
  </si>
  <si>
    <t>Date</t>
  </si>
  <si>
    <t>Units</t>
  </si>
  <si>
    <t>Price</t>
  </si>
  <si>
    <t>Revenue</t>
  </si>
  <si>
    <t>North</t>
  </si>
  <si>
    <t>John</t>
  </si>
  <si>
    <t>Product A</t>
  </si>
  <si>
    <t>Jane</t>
  </si>
  <si>
    <t>Product B</t>
  </si>
  <si>
    <t>Mike</t>
  </si>
  <si>
    <t>Sara</t>
  </si>
  <si>
    <t>Product C</t>
  </si>
  <si>
    <t>David</t>
  </si>
  <si>
    <t>South</t>
  </si>
  <si>
    <t>East</t>
  </si>
  <si>
    <t>West</t>
  </si>
  <si>
    <t>Rep Name</t>
  </si>
  <si>
    <t>Phone</t>
  </si>
  <si>
    <t>Email</t>
  </si>
  <si>
    <t>Amount</t>
  </si>
  <si>
    <t>Order Date</t>
  </si>
  <si>
    <t>123-456-7890</t>
  </si>
  <si>
    <t>j.doe@gmail.com</t>
  </si>
  <si>
    <t>MacBook Pro 14</t>
  </si>
  <si>
    <t>987-654-3210</t>
  </si>
  <si>
    <t>jane@company.com</t>
  </si>
  <si>
    <t>iPad Air</t>
  </si>
  <si>
    <t>555-123-4567</t>
  </si>
  <si>
    <t>mike88@yahoo.com</t>
  </si>
  <si>
    <t>Clean rep names</t>
  </si>
  <si>
    <t xml:space="preserve">  john Doe</t>
  </si>
  <si>
    <t>jane sMith</t>
  </si>
  <si>
    <t>Extract area code</t>
  </si>
  <si>
    <t>Flag free-mail domains</t>
  </si>
  <si>
    <t>domain</t>
  </si>
  <si>
    <t>"1000"</t>
  </si>
  <si>
    <t>value</t>
  </si>
  <si>
    <t>date</t>
  </si>
  <si>
    <t>name</t>
  </si>
  <si>
    <t>pro product</t>
  </si>
  <si>
    <t>first name</t>
  </si>
  <si>
    <t xml:space="preserve"> MIKEy brown</t>
  </si>
  <si>
    <t>AirPods   Pro</t>
  </si>
  <si>
    <t>number</t>
  </si>
  <si>
    <t>final</t>
  </si>
  <si>
    <t>Total revenue</t>
  </si>
  <si>
    <t>north revenue</t>
  </si>
  <si>
    <t>north product A revenue</t>
  </si>
  <si>
    <t>average unit</t>
  </si>
  <si>
    <t>error handel</t>
  </si>
  <si>
    <t>August Tota</t>
  </si>
  <si>
    <t>Product_ID</t>
  </si>
  <si>
    <t>Product_Name</t>
  </si>
  <si>
    <t>Category</t>
  </si>
  <si>
    <t>P001</t>
  </si>
  <si>
    <t>Laptop</t>
  </si>
  <si>
    <t>P002</t>
  </si>
  <si>
    <t>Tablet</t>
  </si>
  <si>
    <t>P003</t>
  </si>
  <si>
    <t>AirPods Pro</t>
  </si>
  <si>
    <t>Audio</t>
  </si>
  <si>
    <t>P004</t>
  </si>
  <si>
    <t>iPhone 15</t>
  </si>
  <si>
    <t>Order_ID</t>
  </si>
  <si>
    <t>Rep_Name</t>
  </si>
  <si>
    <t>ORD-01</t>
  </si>
  <si>
    <t>ORD-02</t>
  </si>
  <si>
    <t>ORD-03</t>
  </si>
  <si>
    <t>ORD-04</t>
  </si>
  <si>
    <t>ORD-05</t>
  </si>
  <si>
    <t>P099</t>
  </si>
  <si>
    <t>match</t>
  </si>
  <si>
    <t>Sales_Target</t>
  </si>
  <si>
    <t>Commission</t>
  </si>
  <si>
    <t>Sales_Data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</si>
</sst>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9" fontId="1" fillId="0" borderId="3" xfId="0" applyNumberFormat="1" applyFont="1" applyBorder="1" applyAlignment="1">
      <alignment horizontal="left" vertical="center" wrapText="1" indent="1" readingOrder="1"/>
    </xf>
    <xf numFmtId="9" fontId="1" fillId="0" borderId="9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3" formatCode="0%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C98F6D-0297-4698-9676-6033A8261382}" name="Table2" displayName="Table2" ref="A1:Q4" totalsRowShown="0">
  <autoFilter ref="A1:Q4" xr:uid="{74C98F6D-0297-4698-9676-6033A8261382}"/>
  <tableColumns count="17">
    <tableColumn id="1" xr3:uid="{2C0B8C1B-FADC-4ACD-9817-FB8B66FEF03E}" name="Rep Name"/>
    <tableColumn id="2" xr3:uid="{FA05711E-9342-4973-ABC3-E5D8A7DAB8B4}" name="Phone"/>
    <tableColumn id="3" xr3:uid="{23EE25B3-07CC-42E8-BC20-865814717CE3}" name="Email"/>
    <tableColumn id="4" xr3:uid="{024804DA-7DA2-453A-B336-CC7813669C6A}" name="Amount"/>
    <tableColumn id="5" xr3:uid="{1644CBFB-AA9D-4CE8-9D38-F6628CF3CC76}" name="Order Date" dataDxfId="36"/>
    <tableColumn id="6" xr3:uid="{D0820350-A1C9-42AC-A547-290E0930E24E}" name="Product"/>
    <tableColumn id="7" xr3:uid="{F1615CBF-633B-488E-974B-5B2206C20F4F}" name="Clean rep names" dataDxfId="35">
      <calculatedColumnFormula>PROPER(TRIM(Table2[[#This Row],[Rep Name]]))</calculatedColumnFormula>
    </tableColumn>
    <tableColumn id="8" xr3:uid="{3193B380-24E9-4B6B-9C21-36D6B27BB767}" name="Extract area code" dataDxfId="34">
      <calculatedColumnFormula>RIGHT(Table2[[#This Row],[Phone]],4)</calculatedColumnFormula>
    </tableColumn>
    <tableColumn id="9" xr3:uid="{57ED3B9F-EC74-43D1-B92C-B8B94A97D116}" name="domain" dataDxfId="33">
      <calculatedColumnFormula>MID(Table2[[#This Row],[Email]], FIND("@", Table2[[#This Row],[Email]]) + 1, LEN(Table2[[#This Row],[Email]]))</calculatedColumnFormula>
    </tableColumn>
    <tableColumn id="10" xr3:uid="{63753FF0-2FA5-4B0B-B3C3-CFC1D24F74C3}" name="Flag free-mail domains" dataDxfId="32">
      <calculatedColumnFormula>IF(OR(Table2[[#This Row],[domain]]="gmail.com", Table2[[#This Row],[domain]]="yahoo.com", Table2[[#This Row],[domain]]="hotmail.com"), "Personal", "Corporate")</calculatedColumnFormula>
    </tableColumn>
    <tableColumn id="14" xr3:uid="{90EA8B81-5B4E-4A74-8F5A-387D47317A31}" name="value" dataDxfId="31">
      <calculatedColumnFormula>VALUE(SUBSTITUTE(Table2[[#This Row],[Amount]],"""",""))</calculatedColumnFormula>
    </tableColumn>
    <tableColumn id="15" xr3:uid="{ACCD4955-06F6-4B4B-B1BE-D469C6645EB4}" name="date" dataDxfId="30">
      <calculatedColumnFormula>TEXT(Table2[[#This Row],[Order Date]],"mmm yyy")</calculatedColumnFormula>
    </tableColumn>
    <tableColumn id="16" xr3:uid="{A4B3BB1F-FB2E-4B05-9437-D6C9096FE87C}" name="name" dataDxfId="29">
      <calculatedColumnFormula>UPPER(LEFT(TRIM(Table2[[#This Row],[Clean rep names]]), 3)) &amp; "-" &amp; TEXT(ROW()-1, "000")</calculatedColumnFormula>
    </tableColumn>
    <tableColumn id="17" xr3:uid="{D8840BF2-BF51-4DA0-817A-22767F0EF76D}" name="pro product" dataDxfId="28">
      <calculatedColumnFormula>IF(ISNUMBER(SEARCH("Pro",Table2[[#This Row],[Product]])),"pro user","not pro user")</calculatedColumnFormula>
    </tableColumn>
    <tableColumn id="19" xr3:uid="{2D5B53D4-7BE6-48D4-8F6D-54500ADA8CA0}" name="first name" dataDxfId="27">
      <calculatedColumnFormula>MID(Table2[[#This Row],[Clean rep names]], FIND(" ", Table2[[#This Row],[Clean rep names]]) + 1, 100)</calculatedColumnFormula>
    </tableColumn>
    <tableColumn id="11" xr3:uid="{04855926-096A-4D01-88AD-CA0C2512F88D}" name="number" dataDxfId="26">
      <calculatedColumnFormula>("+91 "&amp;SUBSTITUTE(Table2[[#This Row],[Phone]],"-",""))</calculatedColumnFormula>
    </tableColumn>
    <tableColumn id="12" xr3:uid="{F939FAB8-9974-469D-B522-ED7263AF92D2}" name="final" dataDxfId="25">
      <calculatedColumnFormula>Table2[[#This Row],[Clean rep names]]&amp;" sold " &amp; Table2[[#This Row],[Product]]&amp;" for $"&amp;Table2[[#This Row],[value]]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F673D-B252-4EFD-985E-3C9298DF6FEA}" name="Table3" displayName="Table3" ref="A1:M7" totalsRowShown="0">
  <autoFilter ref="A1:M7" xr:uid="{FA6F673D-B252-4EFD-985E-3C9298DF6FEA}"/>
  <tableColumns count="13">
    <tableColumn id="1" xr3:uid="{FA996C71-4460-4C29-A8DA-A47C67B3008E}" name="Region"/>
    <tableColumn id="2" xr3:uid="{B2EC7590-FCAD-42F9-B574-BE95DA2070C9}" name="Rep"/>
    <tableColumn id="3" xr3:uid="{6DAA3D21-8562-4703-805E-DE2F352A14C3}" name="Product"/>
    <tableColumn id="4" xr3:uid="{29F86DBE-AEAD-4A66-BD7F-D26B8CEC56E3}" name="Date" dataDxfId="38"/>
    <tableColumn id="5" xr3:uid="{AE2EC84B-BF10-4DA5-B8D4-9348C1BBF3E7}" name="Units"/>
    <tableColumn id="6" xr3:uid="{7E991795-9DAF-40E1-84C6-5F09B4D376AE}" name="Price"/>
    <tableColumn id="7" xr3:uid="{9DE10235-803E-4C45-BEFC-6F41B563C8CE}" name="Revenue"/>
    <tableColumn id="8" xr3:uid="{8CB03866-FB11-4563-B315-DCE052258055}" name="Total revenue"/>
    <tableColumn id="10" xr3:uid="{B12C37C3-EABD-4C73-97F8-F3BB075EBAA3}" name="north revenue"/>
    <tableColumn id="11" xr3:uid="{DB23BBE7-B326-4022-A372-3B7F55E0B82B}" name="north product A revenue"/>
    <tableColumn id="12" xr3:uid="{4F23B074-146C-4074-935F-EA3DBCCC8AB8}" name="average unit" dataDxfId="37">
      <calculatedColumnFormula>AVERAGE(Table3[Units])</calculatedColumnFormula>
    </tableColumn>
    <tableColumn id="13" xr3:uid="{D0A18EF1-73B2-488F-8B6F-F801DB5EF905}" name="error handel"/>
    <tableColumn id="14" xr3:uid="{CA6FB06C-57A0-4CC8-802C-FEAA0A0AE205}" name="August To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8973A6-9620-4AC9-BB75-47542CE1B3AA}" name="Product_Master" displayName="Product_Master" ref="A1:D5" totalsRowShown="0" headerRowDxfId="24" headerRowBorderDxfId="22" tableBorderDxfId="23" totalsRowBorderDxfId="21">
  <autoFilter ref="A1:D5" xr:uid="{958973A6-9620-4AC9-BB75-47542CE1B3AA}"/>
  <tableColumns count="4">
    <tableColumn id="1" xr3:uid="{474A3FDD-6787-46A0-8586-4C4776D8CD1F}" name="Product_ID" dataDxfId="20"/>
    <tableColumn id="2" xr3:uid="{DB76544D-3940-4BC5-97D5-370383D46E62}" name="Product_Name" dataDxfId="19"/>
    <tableColumn id="3" xr3:uid="{6E4AE3B7-F933-4594-A623-ABE0FC52EADE}" name="Category" dataDxfId="18"/>
    <tableColumn id="4" xr3:uid="{66E954B6-3AF5-43CC-855A-738D2B9EF320}" name="Price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3FE530-42EC-45C5-AA94-726B30FB7E83}" name="Sales_Data" displayName="Sales_Data" ref="F1:K6" totalsRowShown="0" headerRowDxfId="9" dataDxfId="10" headerRowBorderDxfId="15" tableBorderDxfId="16" totalsRowBorderDxfId="14">
  <autoFilter ref="F1:K6" xr:uid="{CD3FE530-42EC-45C5-AA94-726B30FB7E83}"/>
  <tableColumns count="6">
    <tableColumn id="1" xr3:uid="{5BCF4FE1-5634-4D3D-A468-4CE446897DCD}" name="Order_ID" dataDxfId="13"/>
    <tableColumn id="2" xr3:uid="{16769213-80FC-42DC-ADB6-1F6A9E9FA4B2}" name="Rep_Name" dataDxfId="12"/>
    <tableColumn id="3" xr3:uid="{ABB69C75-EA31-4DC8-A969-709244D7182E}" name="Product_ID" dataDxfId="11"/>
    <tableColumn id="4" xr3:uid="{7A8E67F4-2EFB-4812-86B2-7BB95AA76966}" name="Product_Name" dataDxfId="8">
      <calculatedColumnFormula>VLOOKUP(Sales_Data[[#This Row],[Product_ID]],Product_Master[],2,FALSE)</calculatedColumnFormula>
    </tableColumn>
    <tableColumn id="5" xr3:uid="{E40216C7-8F58-4379-80E4-B0D92E70A8A5}" name="Price" dataDxfId="0">
      <calculatedColumnFormula>_xlfn.XLOOKUP(Sales_Data[[#This Row],[Product_Name]],Product_Master[Product_Name],Product_Master[Price],"no value")</calculatedColumnFormula>
    </tableColumn>
    <tableColumn id="6" xr3:uid="{DFCB0B88-0FA4-410D-8927-F1A97A9354E6}" name="match" dataDxfId="7">
      <calculatedColumnFormula>INDEX(Product_Master[Price], MATCH(Sales_Data[[#This Row],[Product_ID]], Product_Master[Product_ID], 0))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863AB8-9CA5-4D83-BB74-93B4B1A98379}" name="Comm_Master" displayName="Comm_Master" ref="M1:O4" totalsRowShown="0" headerRowDxfId="1" headerRowBorderDxfId="5" tableBorderDxfId="6" totalsRowBorderDxfId="4">
  <autoFilter ref="M1:O4" xr:uid="{7B863AB8-9CA5-4D83-BB74-93B4B1A98379}"/>
  <tableColumns count="3">
    <tableColumn id="1" xr3:uid="{DBCFA750-923D-4B25-814E-E078D47B1A91}" name="Sales_Target" dataDxfId="3"/>
    <tableColumn id="2" xr3:uid="{72D110E0-B501-4E17-A87F-7F2DBF064907}" name="Commission" dataDxfId="2"/>
    <tableColumn id="3" xr3:uid="{AB8DEEEA-1C7C-41D0-8E2D-97EF8C0062E9}" name="Sales_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9367-C0C7-4E98-99BD-702C125EDA0F}">
  <dimension ref="A1:Q4"/>
  <sheetViews>
    <sheetView topLeftCell="C1" zoomScaleNormal="100" workbookViewId="0">
      <selection activeCell="E6" sqref="E6"/>
    </sheetView>
  </sheetViews>
  <sheetFormatPr defaultRowHeight="14.4" x14ac:dyDescent="0.3"/>
  <cols>
    <col min="1" max="1" width="11.44140625" customWidth="1"/>
    <col min="3" max="3" width="24.21875" customWidth="1"/>
    <col min="4" max="4" width="9.33203125" customWidth="1"/>
    <col min="5" max="5" width="11.88671875" customWidth="1"/>
    <col min="6" max="6" width="14.21875" customWidth="1"/>
    <col min="7" max="7" width="15.88671875" customWidth="1"/>
    <col min="9" max="9" width="17" customWidth="1"/>
    <col min="10" max="10" width="11.21875" customWidth="1"/>
    <col min="16" max="16" width="14.109375" customWidth="1"/>
    <col min="17" max="17" width="32.33203125" customWidth="1"/>
  </cols>
  <sheetData>
    <row r="1" spans="1:17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</v>
      </c>
      <c r="G1" t="s">
        <v>32</v>
      </c>
      <c r="H1" t="s">
        <v>35</v>
      </c>
      <c r="I1" t="s">
        <v>37</v>
      </c>
      <c r="J1" t="s">
        <v>36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46</v>
      </c>
      <c r="Q1" t="s">
        <v>47</v>
      </c>
    </row>
    <row r="2" spans="1:17" x14ac:dyDescent="0.3">
      <c r="A2" t="s">
        <v>33</v>
      </c>
      <c r="B2" t="s">
        <v>24</v>
      </c>
      <c r="C2" t="s">
        <v>25</v>
      </c>
      <c r="D2">
        <v>500</v>
      </c>
      <c r="E2" s="1">
        <v>46235</v>
      </c>
      <c r="F2" t="s">
        <v>26</v>
      </c>
      <c r="G2" t="str">
        <f>PROPER(TRIM(Table2[[#This Row],[Rep Name]]))</f>
        <v>John Doe</v>
      </c>
      <c r="H2" t="str">
        <f>RIGHT(Table2[[#This Row],[Phone]],4)</f>
        <v>7890</v>
      </c>
      <c r="I2" t="str">
        <f>MID(Table2[[#This Row],[Email]], FIND("@", Table2[[#This Row],[Email]]) + 1, LEN(Table2[[#This Row],[Email]]))</f>
        <v>gmail.com</v>
      </c>
      <c r="J2" t="str">
        <f>IF(OR(Table2[[#This Row],[domain]]="gmail.com", Table2[[#This Row],[domain]]="yahoo.com", Table2[[#This Row],[domain]]="hotmail.com"), "Personal", "Corporate")</f>
        <v>Personal</v>
      </c>
      <c r="K2">
        <f>VALUE(SUBSTITUTE(Table2[[#This Row],[Amount]],"""",""))</f>
        <v>500</v>
      </c>
      <c r="L2" t="str">
        <f>TEXT(Table2[[#This Row],[Order Date]],"mmm yyy")</f>
        <v>Aug 2026</v>
      </c>
      <c r="M2" t="str">
        <f>UPPER(LEFT(TRIM(Table2[[#This Row],[Clean rep names]]), 3)) &amp; "-" &amp; TEXT(ROW()-1, "000")</f>
        <v>JOH-001</v>
      </c>
      <c r="N2" t="str">
        <f>IF(ISNUMBER(SEARCH("Pro",Table2[[#This Row],[Product]])),"pro user","not pro user")</f>
        <v>pro user</v>
      </c>
      <c r="O2" t="str">
        <f>MID(Table2[[#This Row],[Clean rep names]], FIND(" ", Table2[[#This Row],[Clean rep names]]) + 1, 100)</f>
        <v>Doe</v>
      </c>
      <c r="P2" t="str">
        <f>("+91 "&amp;SUBSTITUTE(Table2[[#This Row],[Phone]],"-",""))</f>
        <v>+91 1234567890</v>
      </c>
      <c r="Q2" t="str">
        <f>Table2[[#This Row],[Clean rep names]]&amp;" sold " &amp; Table2[[#This Row],[Product]]&amp;" for $"&amp;Table2[[#This Row],[value]]</f>
        <v>John Doe sold MacBook Pro 14 for $500</v>
      </c>
    </row>
    <row r="3" spans="1:17" x14ac:dyDescent="0.3">
      <c r="A3" t="s">
        <v>34</v>
      </c>
      <c r="B3" t="s">
        <v>27</v>
      </c>
      <c r="C3" t="s">
        <v>28</v>
      </c>
      <c r="D3" t="s">
        <v>38</v>
      </c>
      <c r="E3" s="1">
        <v>46249</v>
      </c>
      <c r="F3" t="s">
        <v>29</v>
      </c>
      <c r="G3" t="str">
        <f>PROPER(TRIM(Table2[[#This Row],[Rep Name]]))</f>
        <v>Jane Smith</v>
      </c>
      <c r="H3" t="str">
        <f>RIGHT(Table2[[#This Row],[Phone]],4)</f>
        <v>3210</v>
      </c>
      <c r="I3" t="str">
        <f>MID(Table2[[#This Row],[Email]], FIND("@", Table2[[#This Row],[Email]]) + 1, LEN(Table2[[#This Row],[Email]]))</f>
        <v>company.com</v>
      </c>
      <c r="J3" t="str">
        <f>IF(OR(Table2[[#This Row],[domain]]="gmail.com", Table2[[#This Row],[domain]]="yahoo.com", Table2[[#This Row],[domain]]="hotmail.com"), "Personal", "Corporate")</f>
        <v>Corporate</v>
      </c>
      <c r="K3">
        <f>VALUE(SUBSTITUTE(Table2[[#This Row],[Amount]],"""",""))</f>
        <v>1000</v>
      </c>
      <c r="L3" t="str">
        <f>TEXT(Table2[[#This Row],[Order Date]],"mmm yyy")</f>
        <v>Aug 2026</v>
      </c>
      <c r="M3" t="str">
        <f>UPPER(LEFT(TRIM(Table2[[#This Row],[Clean rep names]]), 3)) &amp; "-" &amp; TEXT(ROW()-1, "000")</f>
        <v>JAN-002</v>
      </c>
      <c r="N3" t="str">
        <f>IF(ISNUMBER(SEARCH("Pro",Table2[[#This Row],[Product]])),"pro user","not pro user")</f>
        <v>not pro user</v>
      </c>
      <c r="O3" t="str">
        <f>MID(Table2[[#This Row],[Clean rep names]], FIND(" ", Table2[[#This Row],[Clean rep names]]) + 1, 100)</f>
        <v>Smith</v>
      </c>
      <c r="P3" t="str">
        <f>("+91 "&amp;SUBSTITUTE(Table2[[#This Row],[Phone]],"-",""))</f>
        <v>+91 9876543210</v>
      </c>
      <c r="Q3" t="str">
        <f>Table2[[#This Row],[Clean rep names]]&amp;" sold " &amp; Table2[[#This Row],[Product]]&amp;" for $"&amp;Table2[[#This Row],[value]]</f>
        <v>Jane Smith sold iPad Air for $1000</v>
      </c>
    </row>
    <row r="4" spans="1:17" x14ac:dyDescent="0.3">
      <c r="A4" t="s">
        <v>44</v>
      </c>
      <c r="B4" t="s">
        <v>30</v>
      </c>
      <c r="C4" t="s">
        <v>31</v>
      </c>
      <c r="D4">
        <v>750</v>
      </c>
      <c r="E4" s="1">
        <v>46256</v>
      </c>
      <c r="F4" t="s">
        <v>45</v>
      </c>
      <c r="G4" t="str">
        <f>PROPER(TRIM(Table2[[#This Row],[Rep Name]]))</f>
        <v>Mikey Brown</v>
      </c>
      <c r="H4" t="str">
        <f>RIGHT(Table2[[#This Row],[Phone]],4)</f>
        <v>4567</v>
      </c>
      <c r="I4" t="str">
        <f>MID(Table2[[#This Row],[Email]], FIND("@", Table2[[#This Row],[Email]]) + 1, LEN(Table2[[#This Row],[Email]]))</f>
        <v>yahoo.com</v>
      </c>
      <c r="J4" t="str">
        <f>IF(OR(Table2[[#This Row],[domain]]="gmail.com", Table2[[#This Row],[domain]]="yahoo.com", Table2[[#This Row],[domain]]="hotmail.com"), "Personal", "Corporate")</f>
        <v>Personal</v>
      </c>
      <c r="K4">
        <f>VALUE(SUBSTITUTE(Table2[[#This Row],[Amount]],"""",""))</f>
        <v>750</v>
      </c>
      <c r="L4" t="str">
        <f>TEXT(Table2[[#This Row],[Order Date]],"mmm yyy")</f>
        <v>Aug 2026</v>
      </c>
      <c r="M4" t="str">
        <f>UPPER(LEFT(TRIM(Table2[[#This Row],[Clean rep names]]), 3)) &amp; "-" &amp; TEXT(ROW()-1, "000")</f>
        <v>MIK-003</v>
      </c>
      <c r="N4" t="str">
        <f>IF(ISNUMBER(SEARCH("Pro",Table2[[#This Row],[Product]])),"pro user","not pro user")</f>
        <v>pro user</v>
      </c>
      <c r="O4" t="str">
        <f>MID(Table2[[#This Row],[Clean rep names]], FIND(" ", Table2[[#This Row],[Clean rep names]]) + 1, 100)</f>
        <v>Brown</v>
      </c>
      <c r="P4" t="str">
        <f>("+91 "&amp;SUBSTITUTE(Table2[[#This Row],[Phone]],"-",""))</f>
        <v>+91 5551234567</v>
      </c>
      <c r="Q4" t="str">
        <f>Table2[[#This Row],[Clean rep names]]&amp;" sold " &amp; Table2[[#This Row],[Product]]&amp;" for $"&amp;Table2[[#This Row],[value]]</f>
        <v>Mikey Brown sold AirPods   Pro for $750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01E8-CF01-4FF8-847E-A1465E7A80F3}">
  <dimension ref="A1:M7"/>
  <sheetViews>
    <sheetView workbookViewId="0">
      <selection activeCell="A2" sqref="A2:M7"/>
    </sheetView>
  </sheetViews>
  <sheetFormatPr defaultRowHeight="14.4" x14ac:dyDescent="0.3"/>
  <cols>
    <col min="3" max="3" width="9.44140625" customWidth="1"/>
    <col min="4" max="4" width="10.33203125" bestFit="1" customWidth="1"/>
    <col min="7" max="7" width="9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</row>
    <row r="2" spans="1:13" x14ac:dyDescent="0.3">
      <c r="A2" t="s">
        <v>7</v>
      </c>
      <c r="B2" t="s">
        <v>8</v>
      </c>
      <c r="C2" t="s">
        <v>9</v>
      </c>
      <c r="D2" s="1">
        <v>46235</v>
      </c>
      <c r="E2">
        <v>10</v>
      </c>
      <c r="F2">
        <v>50</v>
      </c>
      <c r="G2">
        <v>500</v>
      </c>
      <c r="H2">
        <f>SUM(Table3[Revenue])</f>
        <v>4300</v>
      </c>
      <c r="I2">
        <f>SUMIFS(Table3[Revenue],Table3[Region],"North")</f>
        <v>3000</v>
      </c>
      <c r="J2">
        <f>SUMIFS(Table3[Revenue],Table3[Region],"North",Table3[Product],"Product A")</f>
        <v>1500</v>
      </c>
      <c r="K2">
        <f>AVERAGE(Table3[Units])</f>
        <v>10</v>
      </c>
      <c r="L2">
        <f>IFERROR(SUM(Table3[Revenue])/0, 0)</f>
        <v>0</v>
      </c>
      <c r="M2">
        <f>SUMIFS(Table3[Revenue],Table3[Date],"&gt;=01-08-2026",Table3[Date],"&lt;=31-08-2026")</f>
        <v>3900</v>
      </c>
    </row>
    <row r="3" spans="1:13" x14ac:dyDescent="0.3">
      <c r="A3" t="s">
        <v>16</v>
      </c>
      <c r="B3" t="s">
        <v>10</v>
      </c>
      <c r="C3" t="s">
        <v>11</v>
      </c>
      <c r="D3" s="1">
        <v>46236</v>
      </c>
      <c r="E3">
        <v>5</v>
      </c>
      <c r="F3">
        <v>100</v>
      </c>
      <c r="G3">
        <v>500</v>
      </c>
      <c r="K3">
        <f>AVERAGE(Table3[Units])</f>
        <v>10</v>
      </c>
    </row>
    <row r="4" spans="1:13" x14ac:dyDescent="0.3">
      <c r="A4" t="s">
        <v>7</v>
      </c>
      <c r="B4" t="s">
        <v>12</v>
      </c>
      <c r="C4" t="s">
        <v>9</v>
      </c>
      <c r="D4" s="1">
        <v>46237</v>
      </c>
      <c r="E4">
        <v>20</v>
      </c>
      <c r="F4">
        <v>50</v>
      </c>
      <c r="G4">
        <v>1000</v>
      </c>
      <c r="K4">
        <f>AVERAGE(Table3[Units])</f>
        <v>10</v>
      </c>
    </row>
    <row r="5" spans="1:13" x14ac:dyDescent="0.3">
      <c r="A5" t="s">
        <v>17</v>
      </c>
      <c r="B5" t="s">
        <v>13</v>
      </c>
      <c r="C5" t="s">
        <v>14</v>
      </c>
      <c r="D5" s="1">
        <v>46238</v>
      </c>
      <c r="E5">
        <v>2</v>
      </c>
      <c r="F5">
        <v>200</v>
      </c>
      <c r="G5">
        <v>400</v>
      </c>
      <c r="K5">
        <f>AVERAGE(Table3[Units])</f>
        <v>10</v>
      </c>
    </row>
    <row r="6" spans="1:13" x14ac:dyDescent="0.3">
      <c r="A6" t="s">
        <v>7</v>
      </c>
      <c r="B6" t="s">
        <v>8</v>
      </c>
      <c r="C6" t="s">
        <v>11</v>
      </c>
      <c r="D6" s="1">
        <v>46239</v>
      </c>
      <c r="E6">
        <v>15</v>
      </c>
      <c r="F6">
        <v>100</v>
      </c>
      <c r="G6">
        <v>1500</v>
      </c>
      <c r="K6">
        <f>AVERAGE(Table3[Units])</f>
        <v>10</v>
      </c>
    </row>
    <row r="7" spans="1:13" x14ac:dyDescent="0.3">
      <c r="A7" t="s">
        <v>18</v>
      </c>
      <c r="B7" t="s">
        <v>15</v>
      </c>
      <c r="C7" t="s">
        <v>9</v>
      </c>
      <c r="D7" s="1">
        <v>46271</v>
      </c>
      <c r="E7">
        <v>8</v>
      </c>
      <c r="F7">
        <v>50</v>
      </c>
      <c r="G7">
        <v>400</v>
      </c>
      <c r="K7">
        <f>AVERAGE(Table3[Units])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B413-2181-41ED-BB3C-3A0C12195C8E}">
  <dimension ref="A1:O6"/>
  <sheetViews>
    <sheetView tabSelected="1" workbookViewId="0">
      <selection activeCell="I15" sqref="I15"/>
    </sheetView>
  </sheetViews>
  <sheetFormatPr defaultRowHeight="14.4" x14ac:dyDescent="0.3"/>
  <cols>
    <col min="1" max="1" width="14.5546875" customWidth="1"/>
    <col min="2" max="2" width="18.21875" customWidth="1"/>
    <col min="3" max="3" width="12.77734375" customWidth="1"/>
    <col min="6" max="6" width="12.5546875" customWidth="1"/>
    <col min="7" max="8" width="14.5546875" customWidth="1"/>
    <col min="9" max="9" width="18.21875" customWidth="1"/>
    <col min="10" max="10" width="10.109375" bestFit="1" customWidth="1"/>
    <col min="13" max="13" width="16.5546875" customWidth="1"/>
    <col min="14" max="14" width="16.109375" customWidth="1"/>
  </cols>
  <sheetData>
    <row r="1" spans="1:15" ht="28.2" thickBot="1" x14ac:dyDescent="0.35">
      <c r="A1" s="5" t="s">
        <v>54</v>
      </c>
      <c r="B1" s="6" t="s">
        <v>55</v>
      </c>
      <c r="C1" s="6" t="s">
        <v>56</v>
      </c>
      <c r="D1" s="7" t="s">
        <v>5</v>
      </c>
      <c r="F1" s="5" t="s">
        <v>66</v>
      </c>
      <c r="G1" s="6" t="s">
        <v>67</v>
      </c>
      <c r="H1" s="6" t="s">
        <v>54</v>
      </c>
      <c r="I1" s="6" t="s">
        <v>55</v>
      </c>
      <c r="J1" s="7" t="s">
        <v>5</v>
      </c>
      <c r="K1" s="6" t="s">
        <v>74</v>
      </c>
      <c r="M1" s="5" t="s">
        <v>75</v>
      </c>
      <c r="N1" s="7" t="s">
        <v>76</v>
      </c>
      <c r="O1" s="6" t="s">
        <v>77</v>
      </c>
    </row>
    <row r="2" spans="1:15" ht="15" thickBot="1" x14ac:dyDescent="0.35">
      <c r="A2" s="3" t="s">
        <v>57</v>
      </c>
      <c r="B2" s="2" t="s">
        <v>26</v>
      </c>
      <c r="C2" s="2" t="s">
        <v>58</v>
      </c>
      <c r="D2" s="4">
        <v>1500</v>
      </c>
      <c r="F2" s="3" t="s">
        <v>68</v>
      </c>
      <c r="G2" s="2" t="s">
        <v>8</v>
      </c>
      <c r="H2" s="2" t="s">
        <v>59</v>
      </c>
      <c r="I2" s="2" t="str">
        <f>VLOOKUP(Sales_Data[[#This Row],[Product_ID]],Product_Master[],2,FALSE)</f>
        <v>iPad Air</v>
      </c>
      <c r="J2" s="4">
        <f>_xlfn.XLOOKUP(Sales_Data[[#This Row],[Product_Name]],Product_Master[Product_Name],Product_Master[Price],"no value")</f>
        <v>600</v>
      </c>
      <c r="K2" s="11">
        <f>INDEX(Product_Master[Price], MATCH(Sales_Data[[#This Row],[Product_ID]], Product_Master[Product_ID], 0))</f>
        <v>600</v>
      </c>
      <c r="M2" s="3">
        <v>0</v>
      </c>
      <c r="N2" s="12">
        <v>0</v>
      </c>
    </row>
    <row r="3" spans="1:15" ht="15" thickBot="1" x14ac:dyDescent="0.35">
      <c r="A3" s="3" t="s">
        <v>59</v>
      </c>
      <c r="B3" s="2" t="s">
        <v>29</v>
      </c>
      <c r="C3" s="2" t="s">
        <v>60</v>
      </c>
      <c r="D3" s="4">
        <v>600</v>
      </c>
      <c r="F3" s="3" t="s">
        <v>69</v>
      </c>
      <c r="G3" s="2" t="s">
        <v>10</v>
      </c>
      <c r="H3" s="2" t="s">
        <v>64</v>
      </c>
      <c r="I3" s="2" t="str">
        <f>VLOOKUP(Sales_Data[[#This Row],[Product_ID]],Product_Master[],2,FALSE)</f>
        <v>iPhone 15</v>
      </c>
      <c r="J3" s="4">
        <f>_xlfn.XLOOKUP(Sales_Data[[#This Row],[Product_Name]],Product_Master[Product_Name],Product_Master[Price],"no value")</f>
        <v>800</v>
      </c>
      <c r="K3" s="11">
        <f>INDEX(Product_Master[Price], MATCH(Sales_Data[[#This Row],[Product_ID]], Product_Master[Product_ID], 0))</f>
        <v>800</v>
      </c>
      <c r="M3" s="3">
        <v>500</v>
      </c>
      <c r="N3" s="12">
        <v>0.05</v>
      </c>
    </row>
    <row r="4" spans="1:15" ht="15" thickBot="1" x14ac:dyDescent="0.35">
      <c r="A4" s="3" t="s">
        <v>61</v>
      </c>
      <c r="B4" s="2" t="s">
        <v>62</v>
      </c>
      <c r="C4" s="2" t="s">
        <v>63</v>
      </c>
      <c r="D4" s="4">
        <v>250</v>
      </c>
      <c r="F4" s="3" t="s">
        <v>70</v>
      </c>
      <c r="G4" s="2" t="s">
        <v>12</v>
      </c>
      <c r="H4" s="2" t="s">
        <v>57</v>
      </c>
      <c r="I4" s="2" t="str">
        <f>VLOOKUP(Sales_Data[[#This Row],[Product_ID]],Product_Master[],2,FALSE)</f>
        <v>MacBook Pro 14</v>
      </c>
      <c r="J4" s="4">
        <f>_xlfn.XLOOKUP(Sales_Data[[#This Row],[Product_Name]],Product_Master[Product_Name],Product_Master[Price],"no value")</f>
        <v>1500</v>
      </c>
      <c r="K4" s="11">
        <f>INDEX(Product_Master[Price], MATCH(Sales_Data[[#This Row],[Product_ID]], Product_Master[Product_ID], 0))</f>
        <v>1500</v>
      </c>
      <c r="M4" s="8">
        <v>1000</v>
      </c>
      <c r="N4" s="13">
        <v>0.1</v>
      </c>
    </row>
    <row r="5" spans="1:15" ht="17.399999999999999" customHeight="1" thickBot="1" x14ac:dyDescent="0.35">
      <c r="A5" s="8" t="s">
        <v>64</v>
      </c>
      <c r="B5" s="9" t="s">
        <v>65</v>
      </c>
      <c r="C5" s="9" t="s">
        <v>20</v>
      </c>
      <c r="D5" s="10">
        <v>800</v>
      </c>
      <c r="F5" s="3" t="s">
        <v>71</v>
      </c>
      <c r="G5" s="2" t="s">
        <v>13</v>
      </c>
      <c r="H5" s="2" t="s">
        <v>61</v>
      </c>
      <c r="I5" s="2" t="str">
        <f>VLOOKUP(Sales_Data[[#This Row],[Product_ID]],Product_Master[],2,FALSE)</f>
        <v>AirPods Pro</v>
      </c>
      <c r="J5" s="4">
        <f>_xlfn.XLOOKUP(Sales_Data[[#This Row],[Product_Name]],Product_Master[Product_Name],Product_Master[Price],"no value")</f>
        <v>250</v>
      </c>
      <c r="K5" s="11">
        <f>INDEX(Product_Master[Price], MATCH(Sales_Data[[#This Row],[Product_ID]], Product_Master[Product_ID], 0))</f>
        <v>250</v>
      </c>
    </row>
    <row r="6" spans="1:15" ht="39.6" customHeight="1" thickBot="1" x14ac:dyDescent="0.35">
      <c r="F6" s="8" t="s">
        <v>72</v>
      </c>
      <c r="G6" s="9" t="s">
        <v>15</v>
      </c>
      <c r="H6" s="9" t="s">
        <v>73</v>
      </c>
      <c r="I6" s="9" t="e">
        <f>VLOOKUP(Sales_Data[[#This Row],[Product_ID]],Product_Master[],2,FALSE)</f>
        <v>#N/A</v>
      </c>
      <c r="J6" s="4" t="e">
        <f>_xlfn.XLOOKUP(Sales_Data[[#This Row],[Product_Name]],Product_Master[Product_Name],Product_Master[Price],"no value")</f>
        <v>#N/A</v>
      </c>
      <c r="K6" s="11" t="e">
        <f>INDEX(Product_Master[Price], MATCH(Sales_Data[[#This Row],[Product_ID]], Product_Master[Product_ID], 0))</f>
        <v>#N/A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day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karalmax v</dc:creator>
  <cp:lastModifiedBy>karalmax v</cp:lastModifiedBy>
  <dcterms:created xsi:type="dcterms:W3CDTF">2026-09-27T05:28:19Z</dcterms:created>
  <dcterms:modified xsi:type="dcterms:W3CDTF">2026-10-04T11:33:52Z</dcterms:modified>
</cp:coreProperties>
</file>