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almax\excel-portfolio\"/>
    </mc:Choice>
  </mc:AlternateContent>
  <xr:revisionPtr revIDLastSave="0" documentId="13_ncr:1_{DD7BEEBC-8954-48F5-B25F-94A19398AFDB}" xr6:coauthVersionLast="47" xr6:coauthVersionMax="47" xr10:uidLastSave="{00000000-0000-0000-0000-000000000000}"/>
  <bookViews>
    <workbookView xWindow="-108" yWindow="-108" windowWidth="23256" windowHeight="12456" activeTab="4" xr2:uid="{902B2A99-4AAB-4F33-A394-0AA59CB45888}"/>
  </bookViews>
  <sheets>
    <sheet name="Products" sheetId="1" r:id="rId1"/>
    <sheet name="Reps" sheetId="2" r:id="rId2"/>
    <sheet name="Tiers" sheetId="3" r:id="rId3"/>
    <sheet name="Orders" sheetId="4" r:id="rId4"/>
    <sheet name="Task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5" l="1" a="1"/>
  <c r="J1" i="5" s="1"/>
  <c r="H2" i="5"/>
  <c r="G2" i="5"/>
  <c r="B2" i="1"/>
  <c r="F2" i="5"/>
  <c r="E2" i="5"/>
  <c r="D2" i="5" a="1"/>
  <c r="D2" i="5" s="1"/>
  <c r="C2" i="5"/>
  <c r="B2" i="5"/>
  <c r="A2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<sst xmlns="http://schemas.openxmlformats.org/spreadsheetml/2006/main" count="32" uniqueCount="26">
  <si>
    <t>ID</t>
  </si>
  <si>
    <t>Product Name</t>
  </si>
  <si>
    <t>Price</t>
  </si>
  <si>
    <t>Laptop</t>
  </si>
  <si>
    <t>Mouse</t>
  </si>
  <si>
    <t>Keyboard</t>
  </si>
  <si>
    <t>Region</t>
  </si>
  <si>
    <t>Rep Name</t>
  </si>
  <si>
    <t>South</t>
  </si>
  <si>
    <t>Kumar</t>
  </si>
  <si>
    <t>North</t>
  </si>
  <si>
    <t>Priya</t>
  </si>
  <si>
    <t>West</t>
  </si>
  <si>
    <t>Rahul</t>
  </si>
  <si>
    <t>Sales Amount</t>
  </si>
  <si>
    <t>Commission</t>
  </si>
  <si>
    <t>Date</t>
  </si>
  <si>
    <t>Product</t>
  </si>
  <si>
    <t>mouse price</t>
  </si>
  <si>
    <t>mouse price (INDEX + MATCH)</t>
  </si>
  <si>
    <t>Left Lookup</t>
  </si>
  <si>
    <t>Multi-criteria Array</t>
  </si>
  <si>
    <t>Break &amp; Fix VLOOKUP</t>
  </si>
  <si>
    <t>Approximate Match</t>
  </si>
  <si>
    <t>Reverse Lookup</t>
  </si>
  <si>
    <t>Two-way 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</si>
</sst>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horizontal="left" vertical="center" wrapText="1" indent="1" readingOrder="1"/>
    </xf>
    <xf numFmtId="9" fontId="1" fillId="0" borderId="3" xfId="0" applyNumberFormat="1" applyFont="1" applyBorder="1" applyAlignment="1">
      <alignment horizontal="left" vertical="center" wrapText="1" indent="1" readingOrder="1"/>
    </xf>
    <xf numFmtId="9" fontId="1" fillId="0" borderId="9" xfId="0" applyNumberFormat="1" applyFont="1" applyBorder="1" applyAlignment="1">
      <alignment horizontal="left" vertical="center" wrapText="1" indent="1" readingOrder="1"/>
    </xf>
    <xf numFmtId="16" fontId="1" fillId="0" borderId="2" xfId="0" applyNumberFormat="1" applyFont="1" applyBorder="1" applyAlignment="1">
      <alignment horizontal="left" vertical="center" wrapText="1" indent="1" readingOrder="1"/>
    </xf>
    <xf numFmtId="16" fontId="1" fillId="0" borderId="7" xfId="0" applyNumberFormat="1" applyFont="1" applyBorder="1" applyAlignment="1">
      <alignment horizontal="left" vertical="center" wrapText="1" indent="1" readingOrder="1"/>
    </xf>
    <xf numFmtId="14" fontId="0" fillId="0" borderId="0" xfId="0" applyNumberFormat="1"/>
  </cellXfs>
  <cellStyles count="1">
    <cellStyle name="Normal" xfId="0" builtinId="0"/>
  </cellStyles>
  <dxfs count="28"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3" formatCode="0%"/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21" formatCode="dd/mmm"/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C78D10-A7F9-449D-93F1-5754691C3BCE}" name="Table1" displayName="Table1" ref="A1:C4" totalsRowShown="0" headerRowDxfId="20" headerRowBorderDxfId="19" tableBorderDxfId="18" totalsRowBorderDxfId="17">
  <autoFilter ref="A1:C4" xr:uid="{B2C78D10-A7F9-449D-93F1-5754691C3BCE}"/>
  <tableColumns count="3">
    <tableColumn id="1" xr3:uid="{C62E50DD-C37F-4C39-A0EC-43DEA6C7A26A}" name="ID" dataDxfId="16"/>
    <tableColumn id="2" xr3:uid="{C9DAE868-14E4-44AE-8067-86F989A035E8}" name="Product Name" dataDxfId="15"/>
    <tableColumn id="3" xr3:uid="{757BB2C9-B2EA-485E-B059-1F9C6F43728D}" name="Price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5E9F8C-A546-4495-BD84-AEFDD9106A51}" name="Table2" displayName="Table2" ref="A1:B4" totalsRowShown="0" headerRowDxfId="13" headerRowBorderDxfId="12" tableBorderDxfId="11" totalsRowBorderDxfId="10">
  <autoFilter ref="A1:B4" xr:uid="{A05E9F8C-A546-4495-BD84-AEFDD9106A51}"/>
  <tableColumns count="2">
    <tableColumn id="1" xr3:uid="{AA605E03-0516-4BA0-98BA-ECEFB6BFF9DD}" name="Region" dataDxfId="9"/>
    <tableColumn id="2" xr3:uid="{8101A7C0-9588-4C31-A770-5A7E0829AD4D}" name="Rep Name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C28DB8-8ABA-4E89-BC5E-48014BA577A0}" name="Table3" displayName="Table3" ref="A1:B4" totalsRowShown="0" headerRowDxfId="7" headerRowBorderDxfId="6" tableBorderDxfId="5" totalsRowBorderDxfId="4">
  <autoFilter ref="A1:B4" xr:uid="{35C28DB8-8ABA-4E89-BC5E-48014BA577A0}"/>
  <tableColumns count="2">
    <tableColumn id="1" xr3:uid="{38E20AD0-30F9-437F-AE50-4C3143019205}" name="Sales Amount" dataDxfId="3"/>
    <tableColumn id="2" xr3:uid="{494A21F5-0C8F-41CD-BB43-7E3D43E35B8E}" name="Commission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2D7779-D9D6-40CD-B206-A6DB58102684}" name="Table4" displayName="Table4" ref="A1:C4" totalsRowShown="0" headerRowDxfId="27" headerRowBorderDxfId="26" tableBorderDxfId="25" totalsRowBorderDxfId="24">
  <autoFilter ref="A1:C4" xr:uid="{F22D7779-D9D6-40CD-B206-A6DB58102684}"/>
  <tableColumns count="3">
    <tableColumn id="1" xr3:uid="{5A32995A-CF00-4E12-B1C0-B421BDEC3141}" name="Date" dataDxfId="23"/>
    <tableColumn id="2" xr3:uid="{BC1E7364-552D-457B-AEB4-B747B7BA819E}" name="Rep Name" dataDxfId="22"/>
    <tableColumn id="3" xr3:uid="{7D0AF4A3-2ACE-44D0-AA51-21CC96D8A3A4}" name="Product" dataDxfId="2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F325A3-1ED5-4C40-92CC-F88CAD517824}" name="Table5" displayName="Table5" ref="A1:H2" totalsRowShown="0">
  <autoFilter ref="A1:H2" xr:uid="{19F325A3-1ED5-4C40-92CC-F88CAD517824}"/>
  <tableColumns count="8">
    <tableColumn id="1" xr3:uid="{E5681733-7E39-497D-B557-632FD1F5BFDF}" name="mouse price">
      <calculatedColumnFormula>_xlfn.XLOOKUP("Mouse", Products!B:B, Products!C:C, "Not Found")</calculatedColumnFormula>
    </tableColumn>
    <tableColumn id="2" xr3:uid="{BE061AD9-E2C5-4212-B6C8-B2FCC0E31946}" name="mouse price (INDEX + MATCH)">
      <calculatedColumnFormula>INDEX(Products!C:C, MATCH("Mouse", Products!B:B, 0))</calculatedColumnFormula>
    </tableColumn>
    <tableColumn id="3" xr3:uid="{DB94EA86-A256-4252-91FE-DEF7425E1508}" name="Left Lookup">
      <calculatedColumnFormula>_xlfn.XLOOKUP("Priya", Reps!B:B, Reps!A:A, "Unknown")</calculatedColumnFormula>
    </tableColumn>
    <tableColumn id="4" xr3:uid="{742B37A7-E017-42F5-A90B-3DBE69A54F61}" name="Multi-criteria Array" dataDxfId="1">
      <calculatedColumnFormula array="1">_xlfn.XLOOKUP(1, (Table4[Rep Name]="Kumar") * (Table4[Product]="Keyboard"), Table4[Date], "NO data")</calculatedColumnFormula>
    </tableColumn>
    <tableColumn id="5" xr3:uid="{593C0841-6A16-46F3-944B-F9CDE83F81DE}" name="Break &amp; Fix VLOOKUP">
      <calculatedColumnFormula>VLOOKUP(101, Products!A:C, 3, FALSE)</calculatedColumnFormula>
    </tableColumn>
    <tableColumn id="6" xr3:uid="{AFF753CC-4B5F-4030-BB3C-1AB36328BBDF}" name="Approximate Match">
      <calculatedColumnFormula>_xlfn.XLOOKUP(7500, Tiers!A:A, Tiers!B:B, "Error", -1)</calculatedColumnFormula>
    </tableColumn>
    <tableColumn id="8" xr3:uid="{F75BC50F-25DF-4459-B3AF-220160A68415}" name="Reverse Lookup" dataDxfId="0">
      <calculatedColumnFormula>_xlfn.XLOOKUP("Kumar", Orders!B:B, Orders!A:A, "Not Found", 0, -1)</calculatedColumnFormula>
    </tableColumn>
    <tableColumn id="9" xr3:uid="{F1973C06-508E-411A-ACD6-1018550DEAE6}" name="Two-way Lookup">
      <calculatedColumnFormula>INDEX(Products!A1:C4, MATCH("Mouse", Products!B1:B4, 0), MATCH("Price", Products!A1:C1, 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3D117-175F-434B-AC55-C1729F96C98E}">
  <dimension ref="A1:C4"/>
  <sheetViews>
    <sheetView workbookViewId="0">
      <selection activeCell="E17" sqref="E17"/>
    </sheetView>
  </sheetViews>
  <sheetFormatPr defaultRowHeight="14.4" x14ac:dyDescent="0.3"/>
  <cols>
    <col min="2" max="2" width="17.6640625" customWidth="1"/>
  </cols>
  <sheetData>
    <row r="1" spans="1:3" ht="15" thickBot="1" x14ac:dyDescent="0.35">
      <c r="A1" s="4" t="s">
        <v>0</v>
      </c>
      <c r="B1" s="5" t="s">
        <v>1</v>
      </c>
      <c r="C1" s="6" t="s">
        <v>2</v>
      </c>
    </row>
    <row r="2" spans="1:3" ht="15" thickBot="1" x14ac:dyDescent="0.35">
      <c r="A2" s="2">
        <v>101</v>
      </c>
      <c r="B2" s="1" t="str">
        <f>"Laptop "</f>
        <v xml:space="preserve">Laptop </v>
      </c>
      <c r="C2" s="3">
        <v>50000</v>
      </c>
    </row>
    <row r="3" spans="1:3" ht="15" thickBot="1" x14ac:dyDescent="0.35">
      <c r="A3" s="2">
        <v>102</v>
      </c>
      <c r="B3" s="1" t="s">
        <v>4</v>
      </c>
      <c r="C3" s="3">
        <v>500</v>
      </c>
    </row>
    <row r="4" spans="1:3" x14ac:dyDescent="0.3">
      <c r="A4" s="7">
        <v>103</v>
      </c>
      <c r="B4" s="8" t="s">
        <v>5</v>
      </c>
      <c r="C4" s="9">
        <v>1500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0A0D8-D826-428A-A123-1766C5AE13AB}">
  <dimension ref="A1:B4"/>
  <sheetViews>
    <sheetView workbookViewId="0">
      <selection sqref="A1:B4"/>
    </sheetView>
  </sheetViews>
  <sheetFormatPr defaultRowHeight="14.4" x14ac:dyDescent="0.3"/>
  <cols>
    <col min="1" max="1" width="10.77734375" customWidth="1"/>
    <col min="2" max="2" width="14" customWidth="1"/>
  </cols>
  <sheetData>
    <row r="1" spans="1:2" ht="15" thickBot="1" x14ac:dyDescent="0.35">
      <c r="A1" s="4" t="s">
        <v>6</v>
      </c>
      <c r="B1" s="6" t="s">
        <v>7</v>
      </c>
    </row>
    <row r="2" spans="1:2" ht="15" thickBot="1" x14ac:dyDescent="0.35">
      <c r="A2" s="2" t="s">
        <v>8</v>
      </c>
      <c r="B2" s="3" t="s">
        <v>9</v>
      </c>
    </row>
    <row r="3" spans="1:2" ht="15" thickBot="1" x14ac:dyDescent="0.35">
      <c r="A3" s="2" t="s">
        <v>10</v>
      </c>
      <c r="B3" s="3" t="s">
        <v>11</v>
      </c>
    </row>
    <row r="4" spans="1:2" x14ac:dyDescent="0.3">
      <c r="A4" s="7" t="s">
        <v>12</v>
      </c>
      <c r="B4" s="9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2AEF7-0CF9-4E12-B232-A91FBCF4672F}">
  <dimension ref="A1:B4"/>
  <sheetViews>
    <sheetView workbookViewId="0">
      <selection activeCell="B4" sqref="B4"/>
    </sheetView>
  </sheetViews>
  <sheetFormatPr defaultRowHeight="14.4" x14ac:dyDescent="0.3"/>
  <cols>
    <col min="1" max="1" width="17.44140625" customWidth="1"/>
    <col min="2" max="2" width="16.109375" customWidth="1"/>
  </cols>
  <sheetData>
    <row r="1" spans="1:2" ht="15" thickBot="1" x14ac:dyDescent="0.35">
      <c r="A1" s="4" t="s">
        <v>14</v>
      </c>
      <c r="B1" s="6" t="s">
        <v>15</v>
      </c>
    </row>
    <row r="2" spans="1:2" ht="15" thickBot="1" x14ac:dyDescent="0.35">
      <c r="A2" s="2">
        <v>0</v>
      </c>
      <c r="B2" s="10">
        <v>0.05</v>
      </c>
    </row>
    <row r="3" spans="1:2" ht="15" thickBot="1" x14ac:dyDescent="0.35">
      <c r="A3" s="2">
        <v>5000</v>
      </c>
      <c r="B3" s="10">
        <v>0.1</v>
      </c>
    </row>
    <row r="4" spans="1:2" x14ac:dyDescent="0.3">
      <c r="A4" s="7">
        <v>10000</v>
      </c>
      <c r="B4" s="11">
        <v>0.15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E4E8D-E250-4477-B6B1-B7821D625EA0}">
  <dimension ref="A1:C4"/>
  <sheetViews>
    <sheetView workbookViewId="0">
      <selection activeCell="E1" sqref="E1"/>
    </sheetView>
  </sheetViews>
  <sheetFormatPr defaultRowHeight="14.4" x14ac:dyDescent="0.3"/>
  <cols>
    <col min="2" max="2" width="14" customWidth="1"/>
    <col min="3" max="3" width="11.44140625" customWidth="1"/>
  </cols>
  <sheetData>
    <row r="1" spans="1:3" ht="15" thickBot="1" x14ac:dyDescent="0.35">
      <c r="A1" s="4" t="s">
        <v>16</v>
      </c>
      <c r="B1" s="5" t="s">
        <v>7</v>
      </c>
      <c r="C1" s="6" t="s">
        <v>17</v>
      </c>
    </row>
    <row r="2" spans="1:3" ht="15" thickBot="1" x14ac:dyDescent="0.35">
      <c r="A2" s="12">
        <v>46023</v>
      </c>
      <c r="B2" s="1" t="s">
        <v>9</v>
      </c>
      <c r="C2" s="3" t="s">
        <v>4</v>
      </c>
    </row>
    <row r="3" spans="1:3" ht="15" thickBot="1" x14ac:dyDescent="0.35">
      <c r="A3" s="12">
        <v>46027</v>
      </c>
      <c r="B3" s="1" t="s">
        <v>11</v>
      </c>
      <c r="C3" s="3" t="s">
        <v>3</v>
      </c>
    </row>
    <row r="4" spans="1:3" x14ac:dyDescent="0.3">
      <c r="A4" s="13">
        <v>46032</v>
      </c>
      <c r="B4" s="8" t="s">
        <v>9</v>
      </c>
      <c r="C4" s="9" t="s"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90F7-1438-43BD-81DC-CC9511AE6ADC}">
  <dimension ref="A1:K2"/>
  <sheetViews>
    <sheetView tabSelected="1" workbookViewId="0">
      <selection activeCell="J1" sqref="J1"/>
    </sheetView>
  </sheetViews>
  <sheetFormatPr defaultRowHeight="14.4" x14ac:dyDescent="0.3"/>
  <cols>
    <col min="1" max="1" width="13.109375" customWidth="1"/>
    <col min="4" max="4" width="13.88671875" bestFit="1" customWidth="1"/>
    <col min="7" max="7" width="10.33203125" bestFit="1" customWidth="1"/>
  </cols>
  <sheetData>
    <row r="1" spans="1:11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J1" t="str" cm="1">
        <f t="array" ref="J1:K1">_xlfn.XLOOKUP(103, Products!A:A, Products!B:C)</f>
        <v>Keyboard</v>
      </c>
      <c r="K1">
        <v>1500</v>
      </c>
    </row>
    <row r="2" spans="1:11" x14ac:dyDescent="0.3">
      <c r="A2">
        <f>_xlfn.XLOOKUP("Mouse", Products!B:B, Products!C:C, "Not Found")</f>
        <v>500</v>
      </c>
      <c r="B2">
        <f>INDEX(Products!C:C, MATCH("Mouse", Products!B:B, 0))</f>
        <v>500</v>
      </c>
      <c r="C2" t="str">
        <f>_xlfn.XLOOKUP("Priya", Reps!B:B, Reps!A:A, "Unknown")</f>
        <v>North</v>
      </c>
      <c r="D2" s="14" cm="1">
        <f t="array" ref="D2">_xlfn.XLOOKUP(1, (Table4[Rep Name]="Kumar") * (Table4[Product]="Keyboard"), Table4[Date], "NO data")</f>
        <v>46032</v>
      </c>
      <c r="E2">
        <f>VLOOKUP(101, Products!A:C, 3, FALSE)</f>
        <v>50000</v>
      </c>
      <c r="F2">
        <f>_xlfn.XLOOKUP(7500, Tiers!A:A, Tiers!B:B, "Error", -1)</f>
        <v>0.1</v>
      </c>
      <c r="G2" s="14">
        <f>_xlfn.XLOOKUP("Kumar", Orders!B:B, Orders!A:A, "Not Found", 0, -1)</f>
        <v>46032</v>
      </c>
      <c r="H2">
        <f>INDEX(Products!A1:C4, MATCH("Mouse", Products!B1:B4, 0), MATCH("Price", Products!A1:C1, 0))</f>
        <v>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Reps</vt:lpstr>
      <vt:lpstr>Tiers</vt:lpstr>
      <vt:lpstr>Orders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karalmax v</dc:creator>
  <cp:lastModifiedBy>karalmax v</cp:lastModifiedBy>
  <dcterms:created xsi:type="dcterms:W3CDTF">2026-10-09T15:44:50Z</dcterms:created>
  <dcterms:modified xsi:type="dcterms:W3CDTF">2026-10-12T12:27:39Z</dcterms:modified>
</cp:coreProperties>
</file>